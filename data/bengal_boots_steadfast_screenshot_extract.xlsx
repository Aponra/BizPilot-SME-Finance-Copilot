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d641a4f5d146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22464fb0d5734efa"/>
    <x:sheet xmlns:r="http://schemas.openxmlformats.org/officeDocument/2006/relationships" name="Summary" sheetId="2" r:id="Rf5d56da4aa7a49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rial"/>
    </x:font>
    <x:font>
      <x:sz val="10"/>
      <x:name val="Arial"/>
    </x:font>
    <x:font>
      <x:b/>
      <x:sz val="14"/>
      <x:color rgb="FF173F35"/>
      <x:name val="Arial"/>
    </x:font>
    <x:font>
      <x:b/>
      <x:sz val="10"/>
      <x:color rgb="FF8A5B00"/>
      <x:name val="Arial"/>
    </x:font>
    <x:font>
      <x:i/>
      <x:sz val="10"/>
      <x:color rgb="FF4B556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6B4D"/>
      </x:patternFill>
    </x:fill>
    <x:fill>
      <x:patternFill patternType="solid">
        <x:fgColor rgb="FFFFF1CC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</x:borders>
  <x:cellStyleXfs count="1">
    <x:xf numFmtId="0" fontId="0" fillId="0" borderId="0"/>
  </x:cellStyleXfs>
  <x:cellXfs count="42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3" fillId="0" borderId="4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201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201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201" fontId="3" fillId="0" borderId="0" xfId="0" applyNumberFormat="1" applyFont="1" applyFill="1" applyBorder="1"/>
    <x:xf numFmtId="0" fontId="2" fillId="2" borderId="10" xfId="0" applyNumberFormat="1" applyFont="1" applyFill="1" applyBorder="1"/>
    <x:xf numFmtId="0" fontId="2" fillId="2" borderId="11" xfId="0" applyNumberFormat="1" applyFont="1" applyFill="1" applyBorder="1"/>
    <x:xf numFmtId="0" fontId="3" fillId="0" borderId="12" xfId="0" applyNumberFormat="1" applyFont="1" applyFill="1" applyBorder="1"/>
    <x:xf numFmtId="0" fontId="3" fillId="0" borderId="13" xfId="0" applyNumberFormat="1" applyFont="1" applyFill="1" applyBorder="1"/>
    <x:xf numFmtId="201" fontId="3" fillId="0" borderId="13" xfId="0" applyNumberFormat="1" applyFont="1" applyFill="1" applyBorder="1"/>
    <x:xf numFmtId="0" fontId="3" fillId="0" borderId="14" xfId="0" applyNumberFormat="1" applyFont="1" applyFill="1" applyBorder="1"/>
    <x:xf numFmtId="201" fontId="3" fillId="0" borderId="15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3dfa5e62924f8d" /><Relationship Type="http://schemas.openxmlformats.org/officeDocument/2006/relationships/theme" Target="/xl/theme/theme1.xml" Id="R4f9440cce8554cc8" /><Relationship Type="http://schemas.openxmlformats.org/officeDocument/2006/relationships/sharedStrings" Target="/xl/sharedStrings.xml" Id="R581e5ed20e604f9f" /><Relationship Type="http://schemas.openxmlformats.org/officeDocument/2006/relationships/worksheet" Target="/xl/worksheets/sheet1.xml" Id="R22464fb0d5734efa" /><Relationship Type="http://schemas.openxmlformats.org/officeDocument/2006/relationships/worksheet" Target="/xl/worksheets/sheet2.xml" Id="Rf5d56da4aa7a49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3" hidden="0" customWidth="1"/>
    <x:col min="3" max="3" width="16" hidden="0" customWidth="1"/>
    <x:col min="4" max="4" width="15" hidden="0" customWidth="1"/>
    <x:col min="5" max="5" width="15" hidden="0" customWidth="1"/>
    <x:col min="6" max="6" width="18" hidden="0" customWidth="1"/>
    <x:col min="7" max="7" width="18" hidden="0" customWidth="1"/>
    <x:col min="8" max="8" width="30" hidden="0" customWidth="1"/>
  </x:cols>
  <x:sheetData>
    <x:row r="1">
      <x:c r="A1" s="14" t="str">
        <x:v>order_id</x:v>
      </x:c>
      <x:c r="B1" s="15" t="str">
        <x:v>order_date</x:v>
      </x:c>
      <x:c r="C1" s="15" t="str">
        <x:v>product</x:v>
      </x:c>
      <x:c r="D1" s="15" t="str">
        <x:v>cod_amount</x:v>
      </x:c>
      <x:c r="E1" s="15" t="str">
        <x:v>courier_charge</x:v>
      </x:c>
      <x:c r="F1" s="15" t="str">
        <x:v>status</x:v>
      </x:c>
      <x:c r="G1" s="15" t="str">
        <x:v>settlement_status</x:v>
      </x:c>
      <x:c r="H1" s="16" t="str">
        <x:v>source_note</x:v>
      </x:c>
    </x:row>
    <x:row r="2">
      <x:c r="A2" s="17" t="str">
        <x:v>ANON-0001</x:v>
      </x:c>
      <x:c r="B2" s="18" t="d">
        <x:v>2026-05-22T00:00:00.000Z</x:v>
      </x:c>
      <x:c r="C2" s="19" t="str">
        <x:v>Unknown</x:v>
      </x:c>
      <x:c r="D2" s="20" t="n">
        <x:v>2099</x:v>
      </x:c>
      <x:c r="E2" s="20" t="n">
        <x:v>95</x:v>
      </x:c>
      <x:c r="F2" s="19" t="str">
        <x:v>Delivered</x:v>
      </x:c>
      <x:c r="G2" s="19" t="str">
        <x:v>Cleared</x:v>
      </x:c>
      <x:c r="H2" s="21" t="str">
        <x:v>Screenshot extract; PII removed</x:v>
      </x:c>
    </x:row>
    <x:row r="3">
      <x:c r="A3" s="17" t="str">
        <x:v>ANON-0002</x:v>
      </x:c>
      <x:c r="B3" s="18" t="d">
        <x:v>2026-05-19T00:00:00.000Z</x:v>
      </x:c>
      <x:c r="C3" s="19" t="str">
        <x:v>Unknown</x:v>
      </x:c>
      <x:c r="D3" s="20" t="n">
        <x:v>3099</x:v>
      </x:c>
      <x:c r="E3" s="20" t="n">
        <x:v>155</x:v>
      </x:c>
      <x:c r="F3" s="19" t="str">
        <x:v>Delivered</x:v>
      </x:c>
      <x:c r="G3" s="19" t="str">
        <x:v>Cleared</x:v>
      </x:c>
      <x:c r="H3" s="21" t="str">
        <x:v>Screenshot extract; PII removed</x:v>
      </x:c>
    </x:row>
    <x:row r="4">
      <x:c r="A4" s="17" t="str">
        <x:v>ANON-0003</x:v>
      </x:c>
      <x:c r="B4" s="18" t="d">
        <x:v>2026-05-19T00:00:00.000Z</x:v>
      </x:c>
      <x:c r="C4" s="19" t="str">
        <x:v>Unknown</x:v>
      </x:c>
      <x:c r="D4" s="20" t="n">
        <x:v>2099</x:v>
      </x:c>
      <x:c r="E4" s="20" t="n">
        <x:v>75</x:v>
      </x:c>
      <x:c r="F4" s="19" t="str">
        <x:v>Delivered</x:v>
      </x:c>
      <x:c r="G4" s="19" t="str">
        <x:v>Cleared</x:v>
      </x:c>
      <x:c r="H4" s="21" t="str">
        <x:v>Screenshot extract; PII removed</x:v>
      </x:c>
    </x:row>
    <x:row r="5">
      <x:c r="A5" s="17" t="str">
        <x:v>ANON-0004</x:v>
      </x:c>
      <x:c r="B5" s="18" t="d">
        <x:v>2026-05-19T00:00:00.000Z</x:v>
      </x:c>
      <x:c r="C5" s="19" t="str">
        <x:v>Unknown</x:v>
      </x:c>
      <x:c r="D5" s="20" t="n">
        <x:v>2049</x:v>
      </x:c>
      <x:c r="E5" s="20" t="n">
        <x:v>95</x:v>
      </x:c>
      <x:c r="F5" s="19" t="str">
        <x:v>Delivered</x:v>
      </x:c>
      <x:c r="G5" s="19" t="str">
        <x:v>Cleared</x:v>
      </x:c>
      <x:c r="H5" s="21" t="str">
        <x:v>Screenshot extract; PII removed</x:v>
      </x:c>
    </x:row>
    <x:row r="6">
      <x:c r="A6" s="17" t="str">
        <x:v>ANON-0005</x:v>
      </x:c>
      <x:c r="B6" s="18" t="d">
        <x:v>2026-05-19T00:00:00.000Z</x:v>
      </x:c>
      <x:c r="C6" s="19" t="str">
        <x:v>Unknown</x:v>
      </x:c>
      <x:c r="D6" s="20" t="n">
        <x:v>2099</x:v>
      </x:c>
      <x:c r="E6" s="20" t="n">
        <x:v>95</x:v>
      </x:c>
      <x:c r="F6" s="19" t="str">
        <x:v>Delivered</x:v>
      </x:c>
      <x:c r="G6" s="19" t="str">
        <x:v>Cleared</x:v>
      </x:c>
      <x:c r="H6" s="21" t="str">
        <x:v>Screenshot extract; PII removed</x:v>
      </x:c>
    </x:row>
    <x:row r="7">
      <x:c r="A7" s="17" t="str">
        <x:v>ANON-0006</x:v>
      </x:c>
      <x:c r="B7" s="18" t="d">
        <x:v>2026-05-19T00:00:00.000Z</x:v>
      </x:c>
      <x:c r="C7" s="19" t="str">
        <x:v>Unknown</x:v>
      </x:c>
      <x:c r="D7" s="20" t="n">
        <x:v>2099</x:v>
      </x:c>
      <x:c r="E7" s="20" t="n">
        <x:v>95</x:v>
      </x:c>
      <x:c r="F7" s="19" t="str">
        <x:v>Delivered</x:v>
      </x:c>
      <x:c r="G7" s="19" t="str">
        <x:v>Cleared</x:v>
      </x:c>
      <x:c r="H7" s="21" t="str">
        <x:v>Screenshot extract; PII removed</x:v>
      </x:c>
    </x:row>
    <x:row r="8">
      <x:c r="A8" s="17" t="str">
        <x:v>ANON-0007</x:v>
      </x:c>
      <x:c r="B8" s="18" t="d">
        <x:v>2026-05-19T00:00:00.000Z</x:v>
      </x:c>
      <x:c r="C8" s="19" t="str">
        <x:v>Unknown</x:v>
      </x:c>
      <x:c r="D8" s="20" t="n">
        <x:v>2149</x:v>
      </x:c>
      <x:c r="E8" s="20" t="n">
        <x:v>135</x:v>
      </x:c>
      <x:c r="F8" s="19" t="str">
        <x:v>Delivered</x:v>
      </x:c>
      <x:c r="G8" s="19" t="str">
        <x:v>Cleared</x:v>
      </x:c>
      <x:c r="H8" s="21" t="str">
        <x:v>Screenshot extract; PII removed</x:v>
      </x:c>
    </x:row>
    <x:row r="9">
      <x:c r="A9" s="17" t="str">
        <x:v>ANON-0008</x:v>
      </x:c>
      <x:c r="B9" s="18" t="d">
        <x:v>2026-05-19T00:00:00.000Z</x:v>
      </x:c>
      <x:c r="C9" s="19" t="str">
        <x:v>Unknown</x:v>
      </x:c>
      <x:c r="D9" s="20" t="n">
        <x:v>2099</x:v>
      </x:c>
      <x:c r="E9" s="20" t="n">
        <x:v>125</x:v>
      </x:c>
      <x:c r="F9" s="19" t="str">
        <x:v>Delivered</x:v>
      </x:c>
      <x:c r="G9" s="19" t="str">
        <x:v>Cleared</x:v>
      </x:c>
      <x:c r="H9" s="21" t="str">
        <x:v>Screenshot extract; PII removed</x:v>
      </x:c>
    </x:row>
    <x:row r="10">
      <x:c r="A10" s="17" t="str">
        <x:v>ANON-0009</x:v>
      </x:c>
      <x:c r="B10" s="18" t="d">
        <x:v>2026-05-14T00:00:00.000Z</x:v>
      </x:c>
      <x:c r="C10" s="19" t="str">
        <x:v>Unknown</x:v>
      </x:c>
      <x:c r="D10" s="20" t="n">
        <x:v>3099</x:v>
      </x:c>
      <x:c r="E10" s="20" t="n">
        <x:v>155</x:v>
      </x:c>
      <x:c r="F10" s="19" t="str">
        <x:v>Delivered</x:v>
      </x:c>
      <x:c r="G10" s="19" t="str">
        <x:v>Cleared</x:v>
      </x:c>
      <x:c r="H10" s="21" t="str">
        <x:v>Screenshot extract; PII removed</x:v>
      </x:c>
    </x:row>
    <x:row r="11">
      <x:c r="A11" s="17" t="str">
        <x:v>ANON-0010</x:v>
      </x:c>
      <x:c r="B11" s="18" t="d">
        <x:v>2026-05-14T00:00:00.000Z</x:v>
      </x:c>
      <x:c r="C11" s="19" t="str">
        <x:v>Unknown</x:v>
      </x:c>
      <x:c r="D11" s="20" t="n">
        <x:v>2149</x:v>
      </x:c>
      <x:c r="E11" s="20" t="n">
        <x:v>135</x:v>
      </x:c>
      <x:c r="F11" s="19" t="str">
        <x:v>Delivered</x:v>
      </x:c>
      <x:c r="G11" s="19" t="str">
        <x:v>Cleared</x:v>
      </x:c>
      <x:c r="H11" s="21" t="str">
        <x:v>Screenshot extract; PII removed</x:v>
      </x:c>
    </x:row>
    <x:row r="12">
      <x:c r="A12" s="17" t="str">
        <x:v>ANON-0011</x:v>
      </x:c>
      <x:c r="B12" s="18" t="d">
        <x:v>2026-04-23T00:00:00.000Z</x:v>
      </x:c>
      <x:c r="C12" s="19" t="str">
        <x:v>Unknown</x:v>
      </x:c>
      <x:c r="D12" s="20" t="n">
        <x:v>2149</x:v>
      </x:c>
      <x:c r="E12" s="20" t="n">
        <x:v>135</x:v>
      </x:c>
      <x:c r="F12" s="19" t="str">
        <x:v>Cancelled</x:v>
      </x:c>
      <x:c r="G12" s="19" t="str">
        <x:v>Cleared</x:v>
      </x:c>
      <x:c r="H12" s="21" t="str">
        <x:v>Screenshot extract; PII removed</x:v>
      </x:c>
    </x:row>
    <x:row r="13">
      <x:c r="A13" s="17" t="str">
        <x:v>ANON-0012</x:v>
      </x:c>
      <x:c r="B13" s="18" t="d">
        <x:v>2026-04-22T00:00:00.000Z</x:v>
      </x:c>
      <x:c r="C13" s="19" t="str">
        <x:v>Unknown</x:v>
      </x:c>
      <x:c r="D13" s="20" t="n">
        <x:v>3099</x:v>
      </x:c>
      <x:c r="E13" s="20" t="n">
        <x:v>115</x:v>
      </x:c>
      <x:c r="F13" s="19" t="str">
        <x:v>Delivered</x:v>
      </x:c>
      <x:c r="G13" s="19" t="str">
        <x:v>Cleared</x:v>
      </x:c>
      <x:c r="H13" s="21" t="str">
        <x:v>Screenshot extract; PII removed</x:v>
      </x:c>
    </x:row>
    <x:row r="14">
      <x:c r="A14" s="17" t="str">
        <x:v>ANON-0013</x:v>
      </x:c>
      <x:c r="B14" s="18" t="d">
        <x:v>2026-04-22T00:00:00.000Z</x:v>
      </x:c>
      <x:c r="C14" s="19" t="str">
        <x:v>Unknown</x:v>
      </x:c>
      <x:c r="D14" s="20" t="n">
        <x:v>4000</x:v>
      </x:c>
      <x:c r="E14" s="20" t="n">
        <x:v>135</x:v>
      </x:c>
      <x:c r="F14" s="19" t="str">
        <x:v>Delivered</x:v>
      </x:c>
      <x:c r="G14" s="19" t="str">
        <x:v>Cleared</x:v>
      </x:c>
      <x:c r="H14" s="21" t="str">
        <x:v>Screenshot extract; PII removed</x:v>
      </x:c>
    </x:row>
    <x:row r="15">
      <x:c r="A15" s="17" t="str">
        <x:v>ANON-0014</x:v>
      </x:c>
      <x:c r="B15" s="18" t="d">
        <x:v>2026-04-22T00:00:00.000Z</x:v>
      </x:c>
      <x:c r="C15" s="19" t="str">
        <x:v>Unknown</x:v>
      </x:c>
      <x:c r="D15" s="20" t="n">
        <x:v>2100</x:v>
      </x:c>
      <x:c r="E15" s="20" t="n">
        <x:v>155</x:v>
      </x:c>
      <x:c r="F15" s="19" t="str">
        <x:v>Delivered</x:v>
      </x:c>
      <x:c r="G15" s="19" t="str">
        <x:v>Cleared</x:v>
      </x:c>
      <x:c r="H15" s="21" t="str">
        <x:v>Screenshot extract; PII removed</x:v>
      </x:c>
    </x:row>
    <x:row r="16">
      <x:c r="A16" s="17" t="str">
        <x:v>ANON-0015</x:v>
      </x:c>
      <x:c r="B16" s="18" t="d">
        <x:v>2026-04-22T00:00:00.000Z</x:v>
      </x:c>
      <x:c r="C16" s="19" t="str">
        <x:v>Unknown</x:v>
      </x:c>
      <x:c r="D16" s="20" t="n">
        <x:v>2099</x:v>
      </x:c>
      <x:c r="E16" s="20" t="n">
        <x:v>95</x:v>
      </x:c>
      <x:c r="F16" s="19" t="str">
        <x:v>Delivered</x:v>
      </x:c>
      <x:c r="G16" s="19" t="str">
        <x:v>Cleared</x:v>
      </x:c>
      <x:c r="H16" s="21" t="str">
        <x:v>Screenshot extract; PII removed</x:v>
      </x:c>
    </x:row>
    <x:row r="17">
      <x:c r="A17" s="17" t="str">
        <x:v>ANON-0016</x:v>
      </x:c>
      <x:c r="B17" s="18" t="d">
        <x:v>2026-04-01T00:00:00.000Z</x:v>
      </x:c>
      <x:c r="C17" s="19" t="str">
        <x:v>Unknown</x:v>
      </x:c>
      <x:c r="D17" s="20" t="n">
        <x:v>2099</x:v>
      </x:c>
      <x:c r="E17" s="20" t="n">
        <x:v>70</x:v>
      </x:c>
      <x:c r="F17" s="19" t="str">
        <x:v>Delivered</x:v>
      </x:c>
      <x:c r="G17" s="19" t="str">
        <x:v>Cleared</x:v>
      </x:c>
      <x:c r="H17" s="21" t="str">
        <x:v>Screenshot extract; PII removed</x:v>
      </x:c>
    </x:row>
    <x:row r="18">
      <x:c r="A18" s="17" t="str">
        <x:v>ANON-0017</x:v>
      </x:c>
      <x:c r="B18" s="18" t="d">
        <x:v>2026-04-01T00:00:00.000Z</x:v>
      </x:c>
      <x:c r="C18" s="19" t="str">
        <x:v>Unknown</x:v>
      </x:c>
      <x:c r="D18" s="20" t="n">
        <x:v>2099</x:v>
      </x:c>
      <x:c r="E18" s="20" t="n">
        <x:v>90</x:v>
      </x:c>
      <x:c r="F18" s="19" t="str">
        <x:v>Delivered</x:v>
      </x:c>
      <x:c r="G18" s="19" t="str">
        <x:v>Cleared</x:v>
      </x:c>
      <x:c r="H18" s="21" t="str">
        <x:v>Screenshot extract; PII removed</x:v>
      </x:c>
    </x:row>
    <x:row r="19">
      <x:c r="A19" s="17" t="str">
        <x:v>ANON-0018</x:v>
      </x:c>
      <x:c r="B19" s="18" t="d">
        <x:v>2026-03-16T00:00:00.000Z</x:v>
      </x:c>
      <x:c r="C19" s="19" t="str">
        <x:v>Unknown</x:v>
      </x:c>
      <x:c r="D19" s="20" t="n">
        <x:v>2100</x:v>
      </x:c>
      <x:c r="E19" s="20" t="n">
        <x:v>90</x:v>
      </x:c>
      <x:c r="F19" s="19" t="str">
        <x:v>Delivered</x:v>
      </x:c>
      <x:c r="G19" s="19" t="str">
        <x:v>Cleared</x:v>
      </x:c>
      <x:c r="H19" s="21" t="str">
        <x:v>Screenshot extract; PII removed</x:v>
      </x:c>
    </x:row>
    <x:row r="20">
      <x:c r="A20" s="17" t="str">
        <x:v>ANON-0019</x:v>
      </x:c>
      <x:c r="B20" s="18" t="d">
        <x:v>2026-03-14T00:00:00.000Z</x:v>
      </x:c>
      <x:c r="C20" s="19" t="str">
        <x:v>Unknown</x:v>
      </x:c>
      <x:c r="D20" s="20" t="n">
        <x:v>2149</x:v>
      </x:c>
      <x:c r="E20" s="20" t="n">
        <x:v>130</x:v>
      </x:c>
      <x:c r="F20" s="19" t="str">
        <x:v>Delivered</x:v>
      </x:c>
      <x:c r="G20" s="19" t="str">
        <x:v>Cleared</x:v>
      </x:c>
      <x:c r="H20" s="21" t="str">
        <x:v>Screenshot extract; PII removed</x:v>
      </x:c>
    </x:row>
    <x:row r="21">
      <x:c r="A21" s="17" t="str">
        <x:v>ANON-0020</x:v>
      </x:c>
      <x:c r="B21" s="18" t="d">
        <x:v>2026-03-14T00:00:00.000Z</x:v>
      </x:c>
      <x:c r="C21" s="19" t="str">
        <x:v>Unknown</x:v>
      </x:c>
      <x:c r="D21" s="20" t="n">
        <x:v>2149</x:v>
      </x:c>
      <x:c r="E21" s="20" t="n">
        <x:v>70</x:v>
      </x:c>
      <x:c r="F21" s="19" t="str">
        <x:v>Delivered</x:v>
      </x:c>
      <x:c r="G21" s="19" t="str">
        <x:v>Cleared</x:v>
      </x:c>
      <x:c r="H21" s="21" t="str">
        <x:v>Screenshot extract; PII removed</x:v>
      </x:c>
    </x:row>
    <x:row r="22">
      <x:c r="A22" s="17" t="str">
        <x:v>ANON-0021</x:v>
      </x:c>
      <x:c r="B22" s="18" t="d">
        <x:v>2026-03-14T00:00:00.000Z</x:v>
      </x:c>
      <x:c r="C22" s="19" t="str">
        <x:v>Unknown</x:v>
      </x:c>
      <x:c r="D22" s="20" t="n">
        <x:v>2149</x:v>
      </x:c>
      <x:c r="E22" s="20" t="n">
        <x:v>150</x:v>
      </x:c>
      <x:c r="F22" s="19" t="str">
        <x:v>Delivered</x:v>
      </x:c>
      <x:c r="G22" s="19" t="str">
        <x:v>Cleared</x:v>
      </x:c>
      <x:c r="H22" s="21" t="str">
        <x:v>Screenshot extract; PII removed</x:v>
      </x:c>
    </x:row>
    <x:row r="23">
      <x:c r="A23" s="17" t="str">
        <x:v>ANON-0022</x:v>
      </x:c>
      <x:c r="B23" s="18" t="d">
        <x:v>2026-03-14T00:00:00.000Z</x:v>
      </x:c>
      <x:c r="C23" s="19" t="str">
        <x:v>Unknown</x:v>
      </x:c>
      <x:c r="D23" s="20" t="n">
        <x:v>2149</x:v>
      </x:c>
      <x:c r="E23" s="20" t="n">
        <x:v>150</x:v>
      </x:c>
      <x:c r="F23" s="19" t="str">
        <x:v>Delivered</x:v>
      </x:c>
      <x:c r="G23" s="19" t="str">
        <x:v>Cleared</x:v>
      </x:c>
      <x:c r="H23" s="21" t="str">
        <x:v>Screenshot extract; PII removed</x:v>
      </x:c>
    </x:row>
    <x:row r="24">
      <x:c r="A24" s="17" t="str">
        <x:v>ANON-0023</x:v>
      </x:c>
      <x:c r="B24" s="18" t="d">
        <x:v>2026-03-12T00:00:00.000Z</x:v>
      </x:c>
      <x:c r="C24" s="19" t="str">
        <x:v>Unknown</x:v>
      </x:c>
      <x:c r="D24" s="20" t="n">
        <x:v>2149</x:v>
      </x:c>
      <x:c r="E24" s="20" t="n">
        <x:v>90</x:v>
      </x:c>
      <x:c r="F24" s="19" t="str">
        <x:v>Delivered</x:v>
      </x:c>
      <x:c r="G24" s="19" t="str">
        <x:v>Cleared</x:v>
      </x:c>
      <x:c r="H24" s="21" t="str">
        <x:v>Screenshot extract; PII removed</x:v>
      </x:c>
    </x:row>
    <x:row r="25">
      <x:c r="A25" s="17" t="str">
        <x:v>ANON-0024</x:v>
      </x:c>
      <x:c r="B25" s="18" t="d">
        <x:v>2026-03-12T00:00:00.000Z</x:v>
      </x:c>
      <x:c r="C25" s="19" t="str">
        <x:v>Unknown</x:v>
      </x:c>
      <x:c r="D25" s="20" t="n">
        <x:v>2099</x:v>
      </x:c>
      <x:c r="E25" s="20" t="n">
        <x:v>90</x:v>
      </x:c>
      <x:c r="F25" s="19" t="str">
        <x:v>Delivered</x:v>
      </x:c>
      <x:c r="G25" s="19" t="str">
        <x:v>Cleared</x:v>
      </x:c>
      <x:c r="H25" s="21" t="str">
        <x:v>Screenshot extract; PII removed</x:v>
      </x:c>
    </x:row>
    <x:row r="26">
      <x:c r="A26" s="17" t="str">
        <x:v>ANON-0025</x:v>
      </x:c>
      <x:c r="B26" s="18" t="d">
        <x:v>2026-03-12T00:00:00.000Z</x:v>
      </x:c>
      <x:c r="C26" s="19" t="str">
        <x:v>Unknown</x:v>
      </x:c>
      <x:c r="D26" s="20" t="n">
        <x:v>2149</x:v>
      </x:c>
      <x:c r="E26" s="20" t="n">
        <x:v>130</x:v>
      </x:c>
      <x:c r="F26" s="19" t="str">
        <x:v>Delivered</x:v>
      </x:c>
      <x:c r="G26" s="19" t="str">
        <x:v>Cleared</x:v>
      </x:c>
      <x:c r="H26" s="21" t="str">
        <x:v>Screenshot extract; PII removed</x:v>
      </x:c>
    </x:row>
    <x:row r="27">
      <x:c r="A27" s="17" t="str">
        <x:v>ANON-0026</x:v>
      </x:c>
      <x:c r="B27" s="18" t="d">
        <x:v>2026-03-12T00:00:00.000Z</x:v>
      </x:c>
      <x:c r="C27" s="19" t="str">
        <x:v>Unknown</x:v>
      </x:c>
      <x:c r="D27" s="20" t="n">
        <x:v>2149</x:v>
      </x:c>
      <x:c r="E27" s="20" t="n">
        <x:v>150</x:v>
      </x:c>
      <x:c r="F27" s="19" t="str">
        <x:v>Delivered</x:v>
      </x:c>
      <x:c r="G27" s="19" t="str">
        <x:v>Cleared</x:v>
      </x:c>
      <x:c r="H27" s="21" t="str">
        <x:v>Screenshot extract; PII removed</x:v>
      </x:c>
    </x:row>
    <x:row r="28">
      <x:c r="A28" s="17" t="str">
        <x:v>ANON-0027</x:v>
      </x:c>
      <x:c r="B28" s="18" t="d">
        <x:v>2026-03-12T00:00:00.000Z</x:v>
      </x:c>
      <x:c r="C28" s="19" t="str">
        <x:v>Unknown</x:v>
      </x:c>
      <x:c r="D28" s="20" t="n">
        <x:v>2149</x:v>
      </x:c>
      <x:c r="E28" s="20" t="n">
        <x:v>130</x:v>
      </x:c>
      <x:c r="F28" s="19" t="str">
        <x:v>Delivered</x:v>
      </x:c>
      <x:c r="G28" s="19" t="str">
        <x:v>Cleared</x:v>
      </x:c>
      <x:c r="H28" s="21" t="str">
        <x:v>Screenshot extract; PII removed</x:v>
      </x:c>
    </x:row>
    <x:row r="29">
      <x:c r="A29" s="17" t="str">
        <x:v>ANON-0028</x:v>
      </x:c>
      <x:c r="B29" s="18" t="d">
        <x:v>2026-03-12T00:00:00.000Z</x:v>
      </x:c>
      <x:c r="C29" s="19" t="str">
        <x:v>Unknown</x:v>
      </x:c>
      <x:c r="D29" s="20" t="n">
        <x:v>2099</x:v>
      </x:c>
      <x:c r="E29" s="20" t="n">
        <x:v>70</x:v>
      </x:c>
      <x:c r="F29" s="19" t="str">
        <x:v>Delivered</x:v>
      </x:c>
      <x:c r="G29" s="19" t="str">
        <x:v>Cleared</x:v>
      </x:c>
      <x:c r="H29" s="21" t="str">
        <x:v>Screenshot extract; PII removed</x:v>
      </x:c>
    </x:row>
    <x:row r="30">
      <x:c r="A30" s="17" t="str">
        <x:v>ANON-0029</x:v>
      </x:c>
      <x:c r="B30" s="18" t="d">
        <x:v>2026-03-12T00:00:00.000Z</x:v>
      </x:c>
      <x:c r="C30" s="19" t="str">
        <x:v>Unknown</x:v>
      </x:c>
      <x:c r="D30" s="20" t="n">
        <x:v>2149</x:v>
      </x:c>
      <x:c r="E30" s="20" t="n">
        <x:v>100</x:v>
      </x:c>
      <x:c r="F30" s="19" t="str">
        <x:v>Delivered</x:v>
      </x:c>
      <x:c r="G30" s="19" t="str">
        <x:v>Cleared</x:v>
      </x:c>
      <x:c r="H30" s="21" t="str">
        <x:v>Screenshot extract; PII removed</x:v>
      </x:c>
    </x:row>
    <x:row r="31">
      <x:c r="A31" s="17" t="str">
        <x:v>ANON-0030</x:v>
      </x:c>
      <x:c r="B31" s="18" t="d">
        <x:v>2026-03-11T00:00:00.000Z</x:v>
      </x:c>
      <x:c r="C31" s="19" t="str">
        <x:v>Unknown</x:v>
      </x:c>
      <x:c r="D31" s="20" t="n">
        <x:v>2149</x:v>
      </x:c>
      <x:c r="E31" s="20" t="n">
        <x:v>130</x:v>
      </x:c>
      <x:c r="F31" s="19" t="str">
        <x:v>Delivered</x:v>
      </x:c>
      <x:c r="G31" s="19" t="str">
        <x:v>Cleared</x:v>
      </x:c>
      <x:c r="H31" s="21" t="str">
        <x:v>Screenshot extract; PII removed</x:v>
      </x:c>
    </x:row>
    <x:row r="32">
      <x:c r="A32" s="17" t="str">
        <x:v>ANON-0031</x:v>
      </x:c>
      <x:c r="B32" s="18" t="d">
        <x:v>2026-03-11T00:00:00.000Z</x:v>
      </x:c>
      <x:c r="C32" s="19" t="str">
        <x:v>Unknown</x:v>
      </x:c>
      <x:c r="D32" s="20" t="n">
        <x:v>2149</x:v>
      </x:c>
      <x:c r="E32" s="20" t="n">
        <x:v>150</x:v>
      </x:c>
      <x:c r="F32" s="19" t="str">
        <x:v>Delivered</x:v>
      </x:c>
      <x:c r="G32" s="19" t="str">
        <x:v>Cleared</x:v>
      </x:c>
      <x:c r="H32" s="21" t="str">
        <x:v>Screenshot extract; PII removed</x:v>
      </x:c>
    </x:row>
    <x:row r="33">
      <x:c r="A33" s="17" t="str">
        <x:v>ANON-0032</x:v>
      </x:c>
      <x:c r="B33" s="18" t="d">
        <x:v>2026-03-11T00:00:00.000Z</x:v>
      </x:c>
      <x:c r="C33" s="19" t="str">
        <x:v>Unknown</x:v>
      </x:c>
      <x:c r="D33" s="20" t="n">
        <x:v>2099</x:v>
      </x:c>
      <x:c r="E33" s="20" t="n">
        <x:v>90</x:v>
      </x:c>
      <x:c r="F33" s="19" t="str">
        <x:v>Delivered</x:v>
      </x:c>
      <x:c r="G33" s="19" t="str">
        <x:v>Cleared</x:v>
      </x:c>
      <x:c r="H33" s="21" t="str">
        <x:v>Screenshot extract; PII removed</x:v>
      </x:c>
    </x:row>
    <x:row r="34">
      <x:c r="A34" s="17" t="str">
        <x:v>ANON-0033</x:v>
      </x:c>
      <x:c r="B34" s="18" t="d">
        <x:v>2026-03-11T00:00:00.000Z</x:v>
      </x:c>
      <x:c r="C34" s="19" t="str">
        <x:v>Unknown</x:v>
      </x:c>
      <x:c r="D34" s="20" t="n">
        <x:v>2099</x:v>
      </x:c>
      <x:c r="E34" s="20" t="n">
        <x:v>90</x:v>
      </x:c>
      <x:c r="F34" s="19" t="str">
        <x:v>Delivered</x:v>
      </x:c>
      <x:c r="G34" s="19" t="str">
        <x:v>Cleared</x:v>
      </x:c>
      <x:c r="H34" s="21" t="str">
        <x:v>Screenshot extract; PII removed</x:v>
      </x:c>
    </x:row>
    <x:row r="35">
      <x:c r="A35" s="17" t="str">
        <x:v>ANON-0034</x:v>
      </x:c>
      <x:c r="B35" s="18" t="d">
        <x:v>2026-03-11T00:00:00.000Z</x:v>
      </x:c>
      <x:c r="C35" s="19" t="str">
        <x:v>Unknown</x:v>
      </x:c>
      <x:c r="D35" s="20" t="n">
        <x:v>0</x:v>
      </x:c>
      <x:c r="E35" s="20" t="n">
        <x:v>90</x:v>
      </x:c>
      <x:c r="F35" s="19" t="str">
        <x:v>Delivered</x:v>
      </x:c>
      <x:c r="G35" s="19" t="str">
        <x:v>Cleared</x:v>
      </x:c>
      <x:c r="H35" s="21" t="str">
        <x:v>Screenshot extract; PII removed</x:v>
      </x:c>
    </x:row>
    <x:row r="36">
      <x:c r="A36" s="17" t="str">
        <x:v>ANON-0035</x:v>
      </x:c>
      <x:c r="B36" s="18" t="d">
        <x:v>2026-03-11T00:00:00.000Z</x:v>
      </x:c>
      <x:c r="C36" s="19" t="str">
        <x:v>Unknown</x:v>
      </x:c>
      <x:c r="D36" s="20" t="n">
        <x:v>2099</x:v>
      </x:c>
      <x:c r="E36" s="20" t="n">
        <x:v>90</x:v>
      </x:c>
      <x:c r="F36" s="19" t="str">
        <x:v>Delivered</x:v>
      </x:c>
      <x:c r="G36" s="19" t="str">
        <x:v>Cleared</x:v>
      </x:c>
      <x:c r="H36" s="21" t="str">
        <x:v>Screenshot extract; PII removed</x:v>
      </x:c>
    </x:row>
    <x:row r="37">
      <x:c r="A37" s="17" t="str">
        <x:v>ANON-0036</x:v>
      </x:c>
      <x:c r="B37" s="18" t="d">
        <x:v>2026-03-11T00:00:00.000Z</x:v>
      </x:c>
      <x:c r="C37" s="19" t="str">
        <x:v>Unknown</x:v>
      </x:c>
      <x:c r="D37" s="20" t="n">
        <x:v>2119</x:v>
      </x:c>
      <x:c r="E37" s="20" t="n">
        <x:v>130</x:v>
      </x:c>
      <x:c r="F37" s="19" t="str">
        <x:v>Delivered</x:v>
      </x:c>
      <x:c r="G37" s="19" t="str">
        <x:v>Cleared</x:v>
      </x:c>
      <x:c r="H37" s="21" t="str">
        <x:v>Screenshot extract; PII removed</x:v>
      </x:c>
    </x:row>
    <x:row r="38">
      <x:c r="A38" s="17" t="str">
        <x:v>ANON-0037</x:v>
      </x:c>
      <x:c r="B38" s="18" t="d">
        <x:v>2026-03-11T00:00:00.000Z</x:v>
      </x:c>
      <x:c r="C38" s="19" t="str">
        <x:v>Unknown</x:v>
      </x:c>
      <x:c r="D38" s="20" t="n">
        <x:v>2129</x:v>
      </x:c>
      <x:c r="E38" s="20" t="n">
        <x:v>150</x:v>
      </x:c>
      <x:c r="F38" s="19" t="str">
        <x:v>Delivered</x:v>
      </x:c>
      <x:c r="G38" s="19" t="str">
        <x:v>Cleared</x:v>
      </x:c>
      <x:c r="H38" s="21" t="str">
        <x:v>Screenshot extract; PII removed</x:v>
      </x:c>
    </x:row>
    <x:row r="39">
      <x:c r="A39" s="17" t="str">
        <x:v>ANON-0038</x:v>
      </x:c>
      <x:c r="B39" s="18" t="d">
        <x:v>2026-03-11T00:00:00.000Z</x:v>
      </x:c>
      <x:c r="C39" s="19" t="str">
        <x:v>Unknown</x:v>
      </x:c>
      <x:c r="D39" s="20" t="n">
        <x:v>2099</x:v>
      </x:c>
      <x:c r="E39" s="20" t="n">
        <x:v>90</x:v>
      </x:c>
      <x:c r="F39" s="19" t="str">
        <x:v>Delivered</x:v>
      </x:c>
      <x:c r="G39" s="19" t="str">
        <x:v>Cleared</x:v>
      </x:c>
      <x:c r="H39" s="21" t="str">
        <x:v>Screenshot extract; PII removed</x:v>
      </x:c>
    </x:row>
    <x:row r="40">
      <x:c r="A40" s="17" t="str">
        <x:v>ANON-0039</x:v>
      </x:c>
      <x:c r="B40" s="18" t="d">
        <x:v>2026-03-11T00:00:00.000Z</x:v>
      </x:c>
      <x:c r="C40" s="19" t="str">
        <x:v>Unknown</x:v>
      </x:c>
      <x:c r="D40" s="20" t="n">
        <x:v>2149</x:v>
      </x:c>
      <x:c r="E40" s="20" t="n">
        <x:v>150</x:v>
      </x:c>
      <x:c r="F40" s="19" t="str">
        <x:v>Delivered</x:v>
      </x:c>
      <x:c r="G40" s="19" t="str">
        <x:v>Cleared</x:v>
      </x:c>
      <x:c r="H40" s="21" t="str">
        <x:v>Screenshot extract; PII removed</x:v>
      </x:c>
    </x:row>
    <x:row r="41">
      <x:c r="A41" s="17" t="str">
        <x:v>ANON-0040</x:v>
      </x:c>
      <x:c r="B41" s="18" t="d">
        <x:v>2026-03-10T00:00:00.000Z</x:v>
      </x:c>
      <x:c r="C41" s="19" t="str">
        <x:v>Unknown</x:v>
      </x:c>
      <x:c r="D41" s="20" t="n">
        <x:v>2149</x:v>
      </x:c>
      <x:c r="E41" s="20" t="n">
        <x:v>130</x:v>
      </x:c>
      <x:c r="F41" s="19" t="str">
        <x:v>Delivered</x:v>
      </x:c>
      <x:c r="G41" s="19" t="str">
        <x:v>Cleared</x:v>
      </x:c>
      <x:c r="H41" s="21" t="str">
        <x:v>Screenshot extract; PII removed</x:v>
      </x:c>
    </x:row>
    <x:row r="42">
      <x:c r="A42" s="17" t="str">
        <x:v>ANON-0041</x:v>
      </x:c>
      <x:c r="B42" s="18" t="d">
        <x:v>2026-03-07T00:00:00.000Z</x:v>
      </x:c>
      <x:c r="C42" s="19" t="str">
        <x:v>Unknown</x:v>
      </x:c>
      <x:c r="D42" s="20" t="n">
        <x:v>2149</x:v>
      </x:c>
      <x:c r="E42" s="20" t="n">
        <x:v>150</x:v>
      </x:c>
      <x:c r="F42" s="19" t="str">
        <x:v>Delivered</x:v>
      </x:c>
      <x:c r="G42" s="19" t="str">
        <x:v>Cleared</x:v>
      </x:c>
      <x:c r="H42" s="21" t="str">
        <x:v>Screenshot extract; PII removed</x:v>
      </x:c>
    </x:row>
    <x:row r="43">
      <x:c r="A43" s="17" t="str">
        <x:v>ANON-0042</x:v>
      </x:c>
      <x:c r="B43" s="18" t="d">
        <x:v>2026-03-07T00:00:00.000Z</x:v>
      </x:c>
      <x:c r="C43" s="19" t="str">
        <x:v>Unknown</x:v>
      </x:c>
      <x:c r="D43" s="20" t="n">
        <x:v>3099</x:v>
      </x:c>
      <x:c r="E43" s="20" t="n">
        <x:v>90</x:v>
      </x:c>
      <x:c r="F43" s="19" t="str">
        <x:v>Delivered</x:v>
      </x:c>
      <x:c r="G43" s="19" t="str">
        <x:v>Cleared</x:v>
      </x:c>
      <x:c r="H43" s="21" t="str">
        <x:v>Screenshot extract; PII removed</x:v>
      </x:c>
    </x:row>
    <x:row r="44">
      <x:c r="A44" s="17" t="str">
        <x:v>ANON-0043</x:v>
      </x:c>
      <x:c r="B44" s="18" t="d">
        <x:v>2026-03-07T00:00:00.000Z</x:v>
      </x:c>
      <x:c r="C44" s="19" t="str">
        <x:v>Unknown</x:v>
      </x:c>
      <x:c r="D44" s="20" t="n">
        <x:v>2099</x:v>
      </x:c>
      <x:c r="E44" s="20" t="n">
        <x:v>90</x:v>
      </x:c>
      <x:c r="F44" s="19" t="str">
        <x:v>Delivered</x:v>
      </x:c>
      <x:c r="G44" s="19" t="str">
        <x:v>Cleared</x:v>
      </x:c>
      <x:c r="H44" s="21" t="str">
        <x:v>Screenshot extract; PII removed</x:v>
      </x:c>
    </x:row>
    <x:row r="45">
      <x:c r="A45" s="17" t="str">
        <x:v>ANON-0044</x:v>
      </x:c>
      <x:c r="B45" s="18" t="d">
        <x:v>2026-03-07T00:00:00.000Z</x:v>
      </x:c>
      <x:c r="C45" s="19" t="str">
        <x:v>Unknown</x:v>
      </x:c>
      <x:c r="D45" s="20" t="n">
        <x:v>2149</x:v>
      </x:c>
      <x:c r="E45" s="20" t="n">
        <x:v>90</x:v>
      </x:c>
      <x:c r="F45" s="19" t="str">
        <x:v>Delivered</x:v>
      </x:c>
      <x:c r="G45" s="19" t="str">
        <x:v>Cleared</x:v>
      </x:c>
      <x:c r="H45" s="21" t="str">
        <x:v>Screenshot extract; PII removed</x:v>
      </x:c>
    </x:row>
    <x:row r="46">
      <x:c r="A46" s="17" t="str">
        <x:v>ANON-0045</x:v>
      </x:c>
      <x:c r="B46" s="18" t="d">
        <x:v>2026-03-07T00:00:00.000Z</x:v>
      </x:c>
      <x:c r="C46" s="19" t="str">
        <x:v>Unknown</x:v>
      </x:c>
      <x:c r="D46" s="20" t="n">
        <x:v>2149</x:v>
      </x:c>
      <x:c r="E46" s="20" t="n">
        <x:v>150</x:v>
      </x:c>
      <x:c r="F46" s="19" t="str">
        <x:v>Delivered</x:v>
      </x:c>
      <x:c r="G46" s="19" t="str">
        <x:v>Cleared</x:v>
      </x:c>
      <x:c r="H46" s="21" t="str">
        <x:v>Screenshot extract; PII removed</x:v>
      </x:c>
    </x:row>
    <x:row r="47">
      <x:c r="A47" s="17" t="str">
        <x:v>ANON-0046</x:v>
      </x:c>
      <x:c r="B47" s="18" t="d">
        <x:v>2026-03-07T00:00:00.000Z</x:v>
      </x:c>
      <x:c r="C47" s="19" t="str">
        <x:v>Unknown</x:v>
      </x:c>
      <x:c r="D47" s="20" t="n">
        <x:v>2149</x:v>
      </x:c>
      <x:c r="E47" s="20" t="n">
        <x:v>150</x:v>
      </x:c>
      <x:c r="F47" s="19" t="str">
        <x:v>Delivered</x:v>
      </x:c>
      <x:c r="G47" s="19" t="str">
        <x:v>Cleared</x:v>
      </x:c>
      <x:c r="H47" s="21" t="str">
        <x:v>Screenshot extract; PII removed</x:v>
      </x:c>
    </x:row>
    <x:row r="48">
      <x:c r="A48" s="17" t="str">
        <x:v>ANON-0047</x:v>
      </x:c>
      <x:c r="B48" s="18" t="d">
        <x:v>2026-03-07T00:00:00.000Z</x:v>
      </x:c>
      <x:c r="C48" s="19" t="str">
        <x:v>Unknown</x:v>
      </x:c>
      <x:c r="D48" s="20" t="n">
        <x:v>2149</x:v>
      </x:c>
      <x:c r="E48" s="20" t="n">
        <x:v>150</x:v>
      </x:c>
      <x:c r="F48" s="19" t="str">
        <x:v>Delivered</x:v>
      </x:c>
      <x:c r="G48" s="19" t="str">
        <x:v>Cleared</x:v>
      </x:c>
      <x:c r="H48" s="21" t="str">
        <x:v>Screenshot extract; PII removed</x:v>
      </x:c>
    </x:row>
    <x:row r="49">
      <x:c r="A49" s="17" t="str">
        <x:v>ANON-0048</x:v>
      </x:c>
      <x:c r="B49" s="18" t="d">
        <x:v>2026-03-07T00:00:00.000Z</x:v>
      </x:c>
      <x:c r="C49" s="19" t="str">
        <x:v>Unknown</x:v>
      </x:c>
      <x:c r="D49" s="20" t="n">
        <x:v>2149</x:v>
      </x:c>
      <x:c r="E49" s="20" t="n">
        <x:v>120</x:v>
      </x:c>
      <x:c r="F49" s="19" t="str">
        <x:v>Delivered</x:v>
      </x:c>
      <x:c r="G49" s="19" t="str">
        <x:v>Cleared</x:v>
      </x:c>
      <x:c r="H49" s="21" t="str">
        <x:v>Screenshot extract; PII removed</x:v>
      </x:c>
    </x:row>
    <x:row r="50">
      <x:c r="A50" s="17" t="str">
        <x:v>ANON-0049</x:v>
      </x:c>
      <x:c r="B50" s="18" t="d">
        <x:v>2026-03-07T00:00:00.000Z</x:v>
      </x:c>
      <x:c r="C50" s="19" t="str">
        <x:v>Unknown</x:v>
      </x:c>
      <x:c r="D50" s="20" t="n">
        <x:v>2149</x:v>
      </x:c>
      <x:c r="E50" s="20" t="n">
        <x:v>150</x:v>
      </x:c>
      <x:c r="F50" s="19" t="str">
        <x:v>Delivered</x:v>
      </x:c>
      <x:c r="G50" s="19" t="str">
        <x:v>Cleared</x:v>
      </x:c>
      <x:c r="H50" s="21" t="str">
        <x:v>Screenshot extract; PII removed</x:v>
      </x:c>
    </x:row>
    <x:row r="51">
      <x:c r="A51" s="17" t="str">
        <x:v>ANON-0050</x:v>
      </x:c>
      <x:c r="B51" s="18" t="d">
        <x:v>2026-03-07T00:00:00.000Z</x:v>
      </x:c>
      <x:c r="C51" s="19" t="str">
        <x:v>Unknown</x:v>
      </x:c>
      <x:c r="D51" s="20" t="n">
        <x:v>2149</x:v>
      </x:c>
      <x:c r="E51" s="20" t="n">
        <x:v>150</x:v>
      </x:c>
      <x:c r="F51" s="19" t="str">
        <x:v>Delivered</x:v>
      </x:c>
      <x:c r="G51" s="19" t="str">
        <x:v>Cleared</x:v>
      </x:c>
      <x:c r="H51" s="21" t="str">
        <x:v>Screenshot extract; PII removed</x:v>
      </x:c>
    </x:row>
    <x:row r="52">
      <x:c r="A52" s="17" t="str">
        <x:v>ANON-0051</x:v>
      </x:c>
      <x:c r="B52" s="18" t="d">
        <x:v>2026-03-07T00:00:00.000Z</x:v>
      </x:c>
      <x:c r="C52" s="19" t="str">
        <x:v>Unknown</x:v>
      </x:c>
      <x:c r="D52" s="20" t="n">
        <x:v>2149</x:v>
      </x:c>
      <x:c r="E52" s="20" t="n">
        <x:v>150</x:v>
      </x:c>
      <x:c r="F52" s="19" t="str">
        <x:v>Delivered</x:v>
      </x:c>
      <x:c r="G52" s="19" t="str">
        <x:v>Cleared</x:v>
      </x:c>
      <x:c r="H52" s="21" t="str">
        <x:v>Screenshot extract; PII removed</x:v>
      </x:c>
    </x:row>
    <x:row r="53">
      <x:c r="A53" s="17" t="str">
        <x:v>ANON-0052</x:v>
      </x:c>
      <x:c r="B53" s="18" t="d">
        <x:v>2026-03-07T00:00:00.000Z</x:v>
      </x:c>
      <x:c r="C53" s="19" t="str">
        <x:v>Unknown</x:v>
      </x:c>
      <x:c r="D53" s="20" t="n">
        <x:v>2099</x:v>
      </x:c>
      <x:c r="E53" s="20" t="n">
        <x:v>90</x:v>
      </x:c>
      <x:c r="F53" s="19" t="str">
        <x:v>Delivered</x:v>
      </x:c>
      <x:c r="G53" s="19" t="str">
        <x:v>Cleared</x:v>
      </x:c>
      <x:c r="H53" s="21" t="str">
        <x:v>Screenshot extract; PII removed</x:v>
      </x:c>
    </x:row>
    <x:row r="54">
      <x:c r="A54" s="17" t="str">
        <x:v>ANON-0053</x:v>
      </x:c>
      <x:c r="B54" s="18" t="d">
        <x:v>2025-12-26T00:00:00.000Z</x:v>
      </x:c>
      <x:c r="C54" s="19" t="str">
        <x:v>Unknown</x:v>
      </x:c>
      <x:c r="D54" s="20" t="n">
        <x:v>3149</x:v>
      </x:c>
      <x:c r="E54" s="20" t="n">
        <x:v>150</x:v>
      </x:c>
      <x:c r="F54" s="19" t="str">
        <x:v>Delivered</x:v>
      </x:c>
      <x:c r="G54" s="19" t="str">
        <x:v>Cleared</x:v>
      </x:c>
      <x:c r="H54" s="21" t="str">
        <x:v>Screenshot extract; PII removed</x:v>
      </x:c>
    </x:row>
    <x:row r="55">
      <x:c r="A55" s="17" t="str">
        <x:v>ANON-0054</x:v>
      </x:c>
      <x:c r="B55" s="18" t="d">
        <x:v>2025-12-21T00:00:00.000Z</x:v>
      </x:c>
      <x:c r="C55" s="19" t="str">
        <x:v>Unknown</x:v>
      </x:c>
      <x:c r="D55" s="20" t="n">
        <x:v>150</x:v>
      </x:c>
      <x:c r="E55" s="20" t="n">
        <x:v>150</x:v>
      </x:c>
      <x:c r="F55" s="19" t="str">
        <x:v>Partial delivery</x:v>
      </x:c>
      <x:c r="G55" s="19" t="str">
        <x:v>Cleared</x:v>
      </x:c>
      <x:c r="H55" s="21" t="str">
        <x:v>Screenshot extract; PII removed</x:v>
      </x:c>
    </x:row>
    <x:row r="56">
      <x:c r="A56" s="17" t="str">
        <x:v>ANON-0055</x:v>
      </x:c>
      <x:c r="B56" s="18" t="d">
        <x:v>2025-12-11T00:00:00.000Z</x:v>
      </x:c>
      <x:c r="C56" s="19" t="str">
        <x:v>Unknown</x:v>
      </x:c>
      <x:c r="D56" s="20" t="n">
        <x:v>120</x:v>
      </x:c>
      <x:c r="E56" s="20" t="n">
        <x:v>90</x:v>
      </x:c>
      <x:c r="F56" s="19" t="str">
        <x:v>Partial delivery</x:v>
      </x:c>
      <x:c r="G56" s="19" t="str">
        <x:v>Cleared</x:v>
      </x:c>
      <x:c r="H56" s="21" t="str">
        <x:v>Screenshot extract; PII removed</x:v>
      </x:c>
    </x:row>
    <x:row r="57">
      <x:c r="A57" s="17" t="str">
        <x:v>ANON-0056</x:v>
      </x:c>
      <x:c r="B57" s="18" t="d">
        <x:v>2025-12-07T00:00:00.000Z</x:v>
      </x:c>
      <x:c r="C57" s="19" t="str">
        <x:v>Unknown</x:v>
      </x:c>
      <x:c r="D57" s="20" t="n">
        <x:v>79</x:v>
      </x:c>
      <x:c r="E57" s="20" t="n">
        <x:v>90</x:v>
      </x:c>
      <x:c r="F57" s="19" t="str">
        <x:v>Partial delivery</x:v>
      </x:c>
      <x:c r="G57" s="19" t="str">
        <x:v>Cleared</x:v>
      </x:c>
      <x:c r="H57" s="21" t="str">
        <x:v>Screenshot extract; PII removed</x:v>
      </x:c>
    </x:row>
    <x:row r="58">
      <x:c r="A58" s="17" t="str">
        <x:v>ANON-0057</x:v>
      </x:c>
      <x:c r="B58" s="18" t="d">
        <x:v>2025-11-20T00:00:00.000Z</x:v>
      </x:c>
      <x:c r="C58" s="19" t="str">
        <x:v>Unknown</x:v>
      </x:c>
      <x:c r="D58" s="20" t="n">
        <x:v>2149</x:v>
      </x:c>
      <x:c r="E58" s="20" t="n">
        <x:v>150</x:v>
      </x:c>
      <x:c r="F58" s="19" t="str">
        <x:v>Cancelled</x:v>
      </x:c>
      <x:c r="G58" s="19" t="str">
        <x:v>Cleared</x:v>
      </x:c>
      <x:c r="H58" s="21" t="str">
        <x:v>Screenshot extract; PII removed</x:v>
      </x:c>
    </x:row>
    <x:row r="59">
      <x:c r="A59" s="17" t="str">
        <x:v>ANON-0058</x:v>
      </x:c>
      <x:c r="B59" s="18" t="d">
        <x:v>2025-11-20T00:00:00.000Z</x:v>
      </x:c>
      <x:c r="C59" s="19" t="str">
        <x:v>Unknown</x:v>
      </x:c>
      <x:c r="D59" s="20" t="n">
        <x:v>2149</x:v>
      </x:c>
      <x:c r="E59" s="20" t="n">
        <x:v>120</x:v>
      </x:c>
      <x:c r="F59" s="19" t="str">
        <x:v>Cancelled</x:v>
      </x:c>
      <x:c r="G59" s="19" t="str">
        <x:v>Cleared</x:v>
      </x:c>
      <x:c r="H59" s="21" t="str">
        <x:v>Screenshot extract; PII removed</x:v>
      </x:c>
    </x:row>
    <x:row r="60">
      <x:c r="A60" s="17" t="str">
        <x:v>ANON-0059</x:v>
      </x:c>
      <x:c r="B60" s="18" t="d">
        <x:v>2025-11-20T00:00:00.000Z</x:v>
      </x:c>
      <x:c r="C60" s="19" t="str">
        <x:v>Unknown</x:v>
      </x:c>
      <x:c r="D60" s="20" t="n">
        <x:v>2149</x:v>
      </x:c>
      <x:c r="E60" s="20" t="n">
        <x:v>150</x:v>
      </x:c>
      <x:c r="F60" s="19" t="str">
        <x:v>Cancelled</x:v>
      </x:c>
      <x:c r="G60" s="19" t="str">
        <x:v>Cleared</x:v>
      </x:c>
      <x:c r="H60" s="21" t="str">
        <x:v>Screenshot extract; PII removed</x:v>
      </x:c>
    </x:row>
    <x:row r="61">
      <x:c r="A61" s="17" t="str">
        <x:v>ANON-0060</x:v>
      </x:c>
      <x:c r="B61" s="18" t="d">
        <x:v>2025-11-12T00:00:00.000Z</x:v>
      </x:c>
      <x:c r="C61" s="19" t="str">
        <x:v>Unknown</x:v>
      </x:c>
      <x:c r="D61" s="20" t="n">
        <x:v>2099</x:v>
      </x:c>
      <x:c r="E61" s="20" t="n">
        <x:v>90</x:v>
      </x:c>
      <x:c r="F61" s="19" t="str">
        <x:v>Cancelled</x:v>
      </x:c>
      <x:c r="G61" s="19" t="str">
        <x:v>Cleared</x:v>
      </x:c>
      <x:c r="H61" s="21" t="str">
        <x:v>Screenshot extract; PII removed</x:v>
      </x:c>
    </x:row>
    <x:row r="62">
      <x:c r="A62" s="17" t="str">
        <x:v>ANON-0061</x:v>
      </x:c>
      <x:c r="B62" s="18" t="d">
        <x:v>2025-11-12T00:00:00.000Z</x:v>
      </x:c>
      <x:c r="C62" s="19" t="str">
        <x:v>Unknown</x:v>
      </x:c>
      <x:c r="D62" s="20" t="n">
        <x:v>100</x:v>
      </x:c>
      <x:c r="E62" s="20" t="n">
        <x:v>90</x:v>
      </x:c>
      <x:c r="F62" s="19" t="str">
        <x:v>Partial delivery</x:v>
      </x:c>
      <x:c r="G62" s="19" t="str">
        <x:v>Cleared</x:v>
      </x:c>
      <x:c r="H62" s="21" t="str">
        <x:v>Screenshot extract; PII removed</x:v>
      </x:c>
    </x:row>
    <x:row r="63">
      <x:c r="A63" s="17" t="str">
        <x:v>ANON-0062</x:v>
      </x:c>
      <x:c r="B63" s="18" t="d">
        <x:v>2025-11-12T00:00:00.000Z</x:v>
      </x:c>
      <x:c r="C63" s="19" t="str">
        <x:v>Unknown</x:v>
      </x:c>
      <x:c r="D63" s="20" t="n">
        <x:v>150</x:v>
      </x:c>
      <x:c r="E63" s="20" t="n">
        <x:v>150</x:v>
      </x:c>
      <x:c r="F63" s="19" t="str">
        <x:v>Partial delivery</x:v>
      </x:c>
      <x:c r="G63" s="19" t="str">
        <x:v>Cleared</x:v>
      </x:c>
      <x:c r="H63" s="21" t="str">
        <x:v>Screenshot extract; PII removed</x:v>
      </x:c>
    </x:row>
    <x:row r="64">
      <x:c r="A64" s="17" t="str">
        <x:v>ANON-0063</x:v>
      </x:c>
      <x:c r="B64" s="18" t="d">
        <x:v>2025-11-12T00:00:00.000Z</x:v>
      </x:c>
      <x:c r="C64" s="19" t="str">
        <x:v>Unknown</x:v>
      </x:c>
      <x:c r="D64" s="20" t="n">
        <x:v>100</x:v>
      </x:c>
      <x:c r="E64" s="20" t="n">
        <x:v>90</x:v>
      </x:c>
      <x:c r="F64" s="19" t="str">
        <x:v>Partial delivery</x:v>
      </x:c>
      <x:c r="G64" s="19" t="str">
        <x:v>Cleared</x:v>
      </x:c>
      <x:c r="H64" s="21" t="str">
        <x:v>Screenshot extract; PII removed</x:v>
      </x:c>
    </x:row>
    <x:row r="65">
      <x:c r="A65" s="17" t="str">
        <x:v>ANON-0064</x:v>
      </x:c>
      <x:c r="B65" s="18" t="d">
        <x:v>2025-10-01T00:00:00.000Z</x:v>
      </x:c>
      <x:c r="C65" s="19" t="str">
        <x:v>Unknown</x:v>
      </x:c>
      <x:c r="D65" s="20" t="n">
        <x:v>2099</x:v>
      </x:c>
      <x:c r="E65" s="20" t="n">
        <x:v>90</x:v>
      </x:c>
      <x:c r="F65" s="19" t="str">
        <x:v>Cancelled</x:v>
      </x:c>
      <x:c r="G65" s="19" t="str">
        <x:v>Cleared</x:v>
      </x:c>
      <x:c r="H65" s="21" t="str">
        <x:v>Screenshot extract; PII removed</x:v>
      </x:c>
    </x:row>
    <x:row r="66">
      <x:c r="A66" s="22" t="str">
        <x:v>ANON-0065</x:v>
      </x:c>
      <x:c r="B66" s="23" t="d">
        <x:v>2025-09-29T00:00:00.000Z</x:v>
      </x:c>
      <x:c r="C66" s="24" t="str">
        <x:v>Unknown</x:v>
      </x:c>
      <x:c r="D66" s="25" t="n">
        <x:v>2149</x:v>
      </x:c>
      <x:c r="E66" s="25" t="n">
        <x:v>150</x:v>
      </x:c>
      <x:c r="F66" s="24" t="str">
        <x:v>Cancelled</x:v>
      </x:c>
      <x:c r="G66" s="24" t="str">
        <x:v>Cleared</x:v>
      </x:c>
      <x:c r="H66" s="26" t="str">
        <x:v>Screenshot extract; PII removed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5" hidden="0" customWidth="1"/>
    <x:col min="2" max="2" width="18" hidden="0" customWidth="1"/>
    <x:col min="3" max="3" width="14" hidden="0" customWidth="1"/>
    <x:col min="4" max="4" width="14" hidden="0" customWidth="1"/>
  </x:cols>
  <x:sheetData>
    <x:row r="2">
      <x:c r="A2" s="27" t="str">
        <x:v>Steadfast screenshot extract</x:v>
      </x:c>
      <x:c r="B2" s="27"/>
      <x:c r="C2" s="27"/>
      <x:c r="D2" s="27"/>
    </x:row>
    <x:row r="4">
      <x:c r="A4" s="31" t="str">
        <x:v>Metric</x:v>
      </x:c>
      <x:c r="B4" s="32" t="str">
        <x:v>Value</x:v>
      </x:c>
    </x:row>
    <x:row r="5">
      <x:c r="A5" s="33" t="str">
        <x:v>Visible records</x:v>
      </x:c>
      <x:c r="B5" s="34" t="n">
        <x:v>65</x:v>
      </x:c>
    </x:row>
    <x:row r="6">
      <x:c r="A6" s="33" t="str">
        <x:v>Delivered orders</x:v>
      </x:c>
      <x:c r="B6" s="34" t="n">
        <x:f>COUNTIFS(Orders!$F$2:$F$66,"Delivered")</x:f>
        <x:v>52</x:v>
      </x:c>
    </x:row>
    <x:row r="7">
      <x:c r="A7" s="33" t="str">
        <x:v>Cancelled orders</x:v>
      </x:c>
      <x:c r="B7" s="34" t="n">
        <x:f>COUNTIFS(Orders!$F$2:$F$66,"Cancelled")</x:f>
        <x:v>7</x:v>
      </x:c>
    </x:row>
    <x:row r="8">
      <x:c r="A8" s="33" t="str">
        <x:v>Partial deliveries</x:v>
      </x:c>
      <x:c r="B8" s="34" t="n">
        <x:f>COUNTIFS(Orders!$F$2:$F$66,"Partial delivery")</x:f>
        <x:v>6</x:v>
      </x:c>
    </x:row>
    <x:row r="9">
      <x:c r="A9" s="33" t="str">
        <x:v>Delivered COD</x:v>
      </x:c>
      <x:c r="B9" s="35" t="n">
        <x:f>SUMIFS(Orders!$D$2:$D$66,Orders!$F$2:$F$66,"Delivered")</x:f>
        <x:v>115202</x:v>
      </x:c>
    </x:row>
    <x:row r="10">
      <x:c r="A10" s="36" t="str">
        <x:v>Courier charges</x:v>
      </x:c>
      <x:c r="B10" s="37" t="n">
        <x:f>SUM(Orders!$E$2:$E$66)</x:f>
        <x:v>7685</x:v>
      </x:c>
    </x:row>
    <x:row r="12">
      <x:c r="A12" s="39" t="str">
        <x:v>Important limitations</x:v>
      </x:c>
      <x:c r="B12" s="39"/>
      <x:c r="C12" s="39"/>
      <x:c r="D12" s="39"/>
    </x:row>
    <x:row r="13">
      <x:c r="A13" s="41" t="str">
        <x:v>This is a partial transcription of rows visible in screenshots, not a complete Steadfast export.</x:v>
      </x:c>
      <x:c r="B13" s="41"/>
      <x:c r="C13" s="41"/>
      <x:c r="D13" s="41"/>
    </x:row>
    <x:row r="14">
      <x:c r="A14" s="41" t="str">
        <x:v>Customer identities and real consignment numbers were deliberately excluded.</x:v>
      </x:c>
      <x:c r="B14" s="41"/>
      <x:c r="C14" s="41"/>
      <x:c r="D14" s="41"/>
    </x:row>
    <x:row r="15">
      <x:c r="A15" s="41" t="str">
        <x:v>Product names were not reliably available, so product is marked Unknown.</x:v>
      </x:c>
      <x:c r="B15" s="41"/>
      <x:c r="C15" s="41"/>
      <x:c r="D15" s="41"/>
    </x:row>
  </x:sheetData>
  <x:pageMargins left="0.7" right="0.7" top="0.75" bottom="0.75" header="0.3" footer="0.3"/>
</x:worksheet>
</file>